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IR1-12\Desktop\"/>
    </mc:Choice>
  </mc:AlternateContent>
  <xr:revisionPtr revIDLastSave="0" documentId="13_ncr:1_{E338BDEC-DED7-4EB6-BB85-42DD19948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bleadoEstructur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1" l="1"/>
  <c r="E28" i="1" l="1"/>
  <c r="F28" i="1"/>
  <c r="D2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6" i="1"/>
  <c r="G27" i="1"/>
  <c r="G4" i="1" l="1"/>
  <c r="G28" i="1" s="1"/>
</calcChain>
</file>

<file path=xl/sharedStrings.xml><?xml version="1.0" encoding="utf-8"?>
<sst xmlns="http://schemas.openxmlformats.org/spreadsheetml/2006/main" count="33" uniqueCount="33">
  <si>
    <t>Nombre del evaluador:</t>
  </si>
  <si>
    <t>Medias</t>
  </si>
  <si>
    <t>Fecha exposición</t>
  </si>
  <si>
    <t>Nombre del expositor</t>
  </si>
  <si>
    <t>Exposición (35%)</t>
  </si>
  <si>
    <t>Técnica (50%)</t>
  </si>
  <si>
    <t>Defensa (15%)</t>
  </si>
  <si>
    <t>Arrabal Talavera</t>
  </si>
  <si>
    <t>Bajaña Uriña</t>
  </si>
  <si>
    <t>Brañas de la Sota</t>
  </si>
  <si>
    <t>Díaz García</t>
  </si>
  <si>
    <t>Duarte Cifuentes</t>
  </si>
  <si>
    <t>García del Rosal Pérez</t>
  </si>
  <si>
    <t>Gaspar Sánchez</t>
  </si>
  <si>
    <t>Gázquez Ruiz</t>
  </si>
  <si>
    <t>Gómez Dakibou</t>
  </si>
  <si>
    <t>Haro Fernández</t>
  </si>
  <si>
    <t>Hondarza Medina</t>
  </si>
  <si>
    <t>Huaracha Meléndez</t>
  </si>
  <si>
    <t>Martínez Díez</t>
  </si>
  <si>
    <t>Mora Suárez</t>
  </si>
  <si>
    <t>Mosquera Vidal</t>
  </si>
  <si>
    <t>Nieto Lorente</t>
  </si>
  <si>
    <t>Pacheco Delgado</t>
  </si>
  <si>
    <t>Pérez Aranciaga</t>
  </si>
  <si>
    <t>Rascón Fernández</t>
  </si>
  <si>
    <t>Rivera Herrador</t>
  </si>
  <si>
    <t>Rodríguez Hernansaiz</t>
  </si>
  <si>
    <t>Valderas Barrionuevo</t>
  </si>
  <si>
    <t>Vizcaíno Bazaga</t>
  </si>
  <si>
    <t>Zafra Valenciano</t>
  </si>
  <si>
    <t>Curso 2025-26</t>
  </si>
  <si>
    <t>RICHARD JASON HUARACHA MELENDEZ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</si>
</sst>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horizontal="right"/>
    </xf>
    <xf numFmtId="0" fontId="3" fillId="3" borderId="1" xfId="0" applyNumberFormat="1" applyFont="1" applyFill="1" applyBorder="1"/>
    <xf numFmtId="164" fontId="0" fillId="3" borderId="1" xfId="0" applyNumberFormat="1" applyFill="1" applyBorder="1"/>
    <xf numFmtId="0" fontId="4" fillId="0" borderId="0" xfId="0" applyFont="1"/>
    <xf numFmtId="14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1" fillId="2" borderId="0" xfId="0" applyFont="1" applyFill="1" applyProtection="1">
      <protection locked="0"/>
    </xf>
    <xf numFmtId="49" fontId="2" fillId="2" borderId="0" xfId="0" applyNumberFormat="1" applyFont="1" applyFill="1" applyProtection="1">
      <protection locked="0"/>
    </xf>
    <xf numFmtId="14" fontId="0" fillId="2" borderId="3" xfId="0" applyNumberFormat="1" applyFill="1" applyBorder="1" applyProtection="1">
      <protection locked="0"/>
    </xf>
    <xf numFmtId="0" fontId="3" fillId="3" borderId="3" xfId="0" applyNumberFormat="1" applyFont="1" applyFill="1" applyBorder="1"/>
    <xf numFmtId="0" fontId="0" fillId="2" borderId="3" xfId="0" applyFill="1" applyBorder="1" applyProtection="1">
      <protection locked="0"/>
    </xf>
    <xf numFmtId="164" fontId="0" fillId="3" borderId="3" xfId="0" applyNumberFormat="1" applyFill="1" applyBorder="1"/>
    <xf numFmtId="0" fontId="5" fillId="4" borderId="2" xfId="0" applyFont="1" applyFill="1" applyBorder="1"/>
    <xf numFmtId="0" fontId="2" fillId="3" borderId="0" xfId="0" applyFont="1" applyFill="1" applyAlignment="1">
      <alignment horizontal="left"/>
    </xf>
    <xf numFmtId="1" fontId="0" fillId="2" borderId="3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8"/>
  <sheetViews>
    <sheetView tabSelected="1" zoomScaleNormal="100" workbookViewId="0">
      <selection activeCell="F24" sqref="F24"/>
    </sheetView>
  </sheetViews>
  <sheetFormatPr baseColWidth="10" defaultRowHeight="15" x14ac:dyDescent="0.25"/>
  <cols>
    <col min="1" max="1" width="21.85546875" customWidth="1"/>
    <col min="2" max="2" width="3.42578125" bestFit="1" customWidth="1"/>
    <col min="3" max="3" width="27.7109375" bestFit="1" customWidth="1"/>
    <col min="4" max="6" width="20.42578125" customWidth="1"/>
    <col min="7" max="7" width="14" customWidth="1"/>
    <col min="8" max="8" width="14.5703125" customWidth="1"/>
  </cols>
  <sheetData>
    <row r="1" spans="1:7" ht="18.75" x14ac:dyDescent="0.3">
      <c r="A1" s="14" t="s">
        <v>31</v>
      </c>
      <c r="B1" s="14"/>
      <c r="C1" s="1" t="s">
        <v>0</v>
      </c>
      <c r="D1" s="8" t="s">
        <v>32</v>
      </c>
      <c r="E1" s="7"/>
      <c r="F1" s="7"/>
      <c r="G1" s="7"/>
    </row>
    <row r="2" spans="1:7" ht="5.25" customHeight="1" x14ac:dyDescent="0.25"/>
    <row r="3" spans="1:7" s="4" customFormat="1" ht="18.75" x14ac:dyDescent="0.3">
      <c r="A3" s="13" t="s">
        <v>2</v>
      </c>
      <c r="B3" s="13"/>
      <c r="C3" s="13" t="s">
        <v>3</v>
      </c>
      <c r="D3" s="13" t="s">
        <v>4</v>
      </c>
      <c r="E3" s="13" t="s">
        <v>5</v>
      </c>
      <c r="F3" s="13" t="s">
        <v>6</v>
      </c>
      <c r="G3" s="13" t="s">
        <v>1</v>
      </c>
    </row>
    <row r="4" spans="1:7" x14ac:dyDescent="0.25">
      <c r="A4" s="9">
        <v>46044</v>
      </c>
      <c r="B4" s="15">
        <v>1</v>
      </c>
      <c r="C4" s="10" t="s">
        <v>7</v>
      </c>
      <c r="D4" s="11">
        <v>7</v>
      </c>
      <c r="E4" s="11">
        <v>7</v>
      </c>
      <c r="F4" s="11">
        <v>7</v>
      </c>
      <c r="G4" s="12">
        <f>D4*0.35+E4*0.5+F4*0.15</f>
        <v>6.9999999999999991</v>
      </c>
    </row>
    <row r="5" spans="1:7" x14ac:dyDescent="0.25">
      <c r="A5" s="5">
        <v>46045</v>
      </c>
      <c r="B5" s="16">
        <v>2</v>
      </c>
      <c r="C5" s="2" t="s">
        <v>8</v>
      </c>
      <c r="D5" s="6">
        <v>8</v>
      </c>
      <c r="E5" s="6">
        <v>7.5</v>
      </c>
      <c r="F5" s="6">
        <v>7.5</v>
      </c>
      <c r="G5" s="3">
        <f t="shared" ref="G5:G27" si="0">D5*0.35+E5*0.5+F5*0.15</f>
        <v>7.6749999999999998</v>
      </c>
    </row>
    <row r="6" spans="1:7" x14ac:dyDescent="0.25">
      <c r="A6" s="5">
        <v>46045</v>
      </c>
      <c r="B6" s="15">
        <v>3</v>
      </c>
      <c r="C6" s="2" t="s">
        <v>9</v>
      </c>
      <c r="D6" s="6">
        <v>7</v>
      </c>
      <c r="E6" s="6">
        <v>7</v>
      </c>
      <c r="F6" s="6">
        <v>7</v>
      </c>
      <c r="G6" s="3">
        <f t="shared" si="0"/>
        <v>6.9999999999999991</v>
      </c>
    </row>
    <row r="7" spans="1:7" x14ac:dyDescent="0.25">
      <c r="A7" s="5">
        <v>46041</v>
      </c>
      <c r="B7" s="16">
        <v>4</v>
      </c>
      <c r="C7" s="2" t="s">
        <v>10</v>
      </c>
      <c r="D7" s="6">
        <v>7.5</v>
      </c>
      <c r="E7" s="6">
        <v>7.5</v>
      </c>
      <c r="F7" s="6">
        <v>8</v>
      </c>
      <c r="G7" s="3">
        <f t="shared" si="0"/>
        <v>7.5750000000000002</v>
      </c>
    </row>
    <row r="8" spans="1:7" x14ac:dyDescent="0.25">
      <c r="A8" s="5">
        <v>46041</v>
      </c>
      <c r="B8" s="15">
        <v>5</v>
      </c>
      <c r="C8" s="2" t="s">
        <v>11</v>
      </c>
      <c r="D8" s="6">
        <v>6.5</v>
      </c>
      <c r="E8" s="6">
        <v>6.5</v>
      </c>
      <c r="F8" s="6">
        <v>6</v>
      </c>
      <c r="G8" s="3">
        <f t="shared" si="0"/>
        <v>6.4250000000000007</v>
      </c>
    </row>
    <row r="9" spans="1:7" x14ac:dyDescent="0.25">
      <c r="A9" s="5">
        <v>46045</v>
      </c>
      <c r="B9" s="16">
        <v>6</v>
      </c>
      <c r="C9" s="2" t="s">
        <v>12</v>
      </c>
      <c r="D9" s="6">
        <v>6.5</v>
      </c>
      <c r="E9" s="6">
        <v>7</v>
      </c>
      <c r="F9" s="6">
        <v>6.5</v>
      </c>
      <c r="G9" s="3">
        <f t="shared" si="0"/>
        <v>6.75</v>
      </c>
    </row>
    <row r="10" spans="1:7" x14ac:dyDescent="0.25">
      <c r="A10" s="5">
        <v>46044</v>
      </c>
      <c r="B10" s="15">
        <v>7</v>
      </c>
      <c r="C10" s="2" t="s">
        <v>13</v>
      </c>
      <c r="D10" s="6">
        <v>7.5</v>
      </c>
      <c r="E10" s="6">
        <v>7.5</v>
      </c>
      <c r="F10" s="6">
        <v>7.5</v>
      </c>
      <c r="G10" s="3">
        <f t="shared" si="0"/>
        <v>7.5</v>
      </c>
    </row>
    <row r="11" spans="1:7" x14ac:dyDescent="0.25">
      <c r="A11" s="5">
        <v>46038</v>
      </c>
      <c r="B11" s="16">
        <v>8</v>
      </c>
      <c r="C11" s="2" t="s">
        <v>14</v>
      </c>
      <c r="D11" s="6">
        <v>7</v>
      </c>
      <c r="E11" s="6">
        <v>7.5</v>
      </c>
      <c r="F11" s="6">
        <v>8</v>
      </c>
      <c r="G11" s="3">
        <f t="shared" si="0"/>
        <v>7.3999999999999995</v>
      </c>
    </row>
    <row r="12" spans="1:7" x14ac:dyDescent="0.25">
      <c r="A12" s="5">
        <v>46045</v>
      </c>
      <c r="B12" s="15">
        <v>9</v>
      </c>
      <c r="C12" s="2" t="s">
        <v>15</v>
      </c>
      <c r="D12" s="6">
        <v>7</v>
      </c>
      <c r="E12" s="6">
        <v>7</v>
      </c>
      <c r="F12" s="6">
        <v>7</v>
      </c>
      <c r="G12" s="3">
        <f t="shared" si="0"/>
        <v>6.9999999999999991</v>
      </c>
    </row>
    <row r="13" spans="1:7" x14ac:dyDescent="0.25">
      <c r="A13" s="5">
        <v>46045</v>
      </c>
      <c r="B13" s="16">
        <v>10</v>
      </c>
      <c r="C13" s="2" t="s">
        <v>16</v>
      </c>
      <c r="D13" s="6">
        <v>8.5</v>
      </c>
      <c r="E13" s="6">
        <v>8</v>
      </c>
      <c r="F13" s="6">
        <v>9.5</v>
      </c>
      <c r="G13" s="3">
        <f t="shared" si="0"/>
        <v>8.4</v>
      </c>
    </row>
    <row r="14" spans="1:7" x14ac:dyDescent="0.25">
      <c r="A14" s="5">
        <v>46045</v>
      </c>
      <c r="B14" s="15">
        <v>11</v>
      </c>
      <c r="C14" s="2" t="s">
        <v>17</v>
      </c>
      <c r="D14" s="6">
        <v>7</v>
      </c>
      <c r="E14" s="6">
        <v>7</v>
      </c>
      <c r="F14" s="6">
        <v>7</v>
      </c>
      <c r="G14" s="3">
        <f t="shared" si="0"/>
        <v>6.9999999999999991</v>
      </c>
    </row>
    <row r="15" spans="1:7" x14ac:dyDescent="0.25">
      <c r="A15" s="5"/>
      <c r="B15" s="16">
        <v>12</v>
      </c>
      <c r="C15" s="2" t="s">
        <v>18</v>
      </c>
      <c r="D15" s="6"/>
      <c r="E15" s="6"/>
      <c r="F15" s="6"/>
      <c r="G15" s="3">
        <f t="shared" si="0"/>
        <v>0</v>
      </c>
    </row>
    <row r="16" spans="1:7" x14ac:dyDescent="0.25">
      <c r="A16" s="5">
        <v>46035</v>
      </c>
      <c r="B16" s="15">
        <v>13</v>
      </c>
      <c r="C16" s="2" t="s">
        <v>19</v>
      </c>
      <c r="D16" s="6">
        <v>8</v>
      </c>
      <c r="E16" s="6">
        <v>8</v>
      </c>
      <c r="F16" s="6">
        <v>7.5</v>
      </c>
      <c r="G16" s="3">
        <f t="shared" si="0"/>
        <v>7.9249999999999998</v>
      </c>
    </row>
    <row r="17" spans="1:7" x14ac:dyDescent="0.25">
      <c r="A17" s="5">
        <v>46044</v>
      </c>
      <c r="B17" s="16">
        <v>14</v>
      </c>
      <c r="C17" s="2" t="s">
        <v>20</v>
      </c>
      <c r="D17" s="6">
        <v>7.5</v>
      </c>
      <c r="E17" s="6">
        <v>7</v>
      </c>
      <c r="F17" s="6">
        <v>7</v>
      </c>
      <c r="G17" s="3">
        <f t="shared" si="0"/>
        <v>7.1749999999999998</v>
      </c>
    </row>
    <row r="18" spans="1:7" x14ac:dyDescent="0.25">
      <c r="A18" s="5">
        <v>46044</v>
      </c>
      <c r="B18" s="15">
        <v>15</v>
      </c>
      <c r="C18" s="2" t="s">
        <v>21</v>
      </c>
      <c r="D18" s="6">
        <v>6.5</v>
      </c>
      <c r="E18" s="6">
        <v>6</v>
      </c>
      <c r="F18" s="6">
        <v>6.5</v>
      </c>
      <c r="G18" s="3">
        <f t="shared" si="0"/>
        <v>6.25</v>
      </c>
    </row>
    <row r="19" spans="1:7" x14ac:dyDescent="0.25">
      <c r="A19" s="5">
        <v>46037</v>
      </c>
      <c r="B19" s="16">
        <v>16</v>
      </c>
      <c r="C19" s="2" t="s">
        <v>22</v>
      </c>
      <c r="D19" s="6">
        <v>10</v>
      </c>
      <c r="E19" s="6">
        <v>9</v>
      </c>
      <c r="F19" s="6">
        <v>9.5</v>
      </c>
      <c r="G19" s="3">
        <f t="shared" si="0"/>
        <v>9.4250000000000007</v>
      </c>
    </row>
    <row r="20" spans="1:7" x14ac:dyDescent="0.25">
      <c r="A20" s="5">
        <v>46038</v>
      </c>
      <c r="B20" s="15">
        <v>17</v>
      </c>
      <c r="C20" s="2" t="s">
        <v>23</v>
      </c>
      <c r="D20" s="6">
        <v>7</v>
      </c>
      <c r="E20" s="6">
        <v>6.5</v>
      </c>
      <c r="F20" s="6">
        <v>7</v>
      </c>
      <c r="G20" s="3">
        <f t="shared" si="0"/>
        <v>6.7499999999999991</v>
      </c>
    </row>
    <row r="21" spans="1:7" x14ac:dyDescent="0.25">
      <c r="A21" s="5">
        <v>46038</v>
      </c>
      <c r="B21" s="16">
        <v>18</v>
      </c>
      <c r="C21" s="2" t="s">
        <v>24</v>
      </c>
      <c r="D21" s="6">
        <v>7</v>
      </c>
      <c r="E21" s="6">
        <v>6.5</v>
      </c>
      <c r="F21" s="6">
        <v>7</v>
      </c>
      <c r="G21" s="3">
        <f t="shared" si="0"/>
        <v>6.7499999999999991</v>
      </c>
    </row>
    <row r="22" spans="1:7" x14ac:dyDescent="0.25">
      <c r="A22" s="5">
        <v>46045</v>
      </c>
      <c r="B22" s="15">
        <v>19</v>
      </c>
      <c r="C22" s="2" t="s">
        <v>25</v>
      </c>
      <c r="D22" s="6">
        <v>8</v>
      </c>
      <c r="E22" s="6">
        <v>8</v>
      </c>
      <c r="F22" s="6">
        <v>9</v>
      </c>
      <c r="G22" s="3">
        <f t="shared" si="0"/>
        <v>8.15</v>
      </c>
    </row>
    <row r="23" spans="1:7" x14ac:dyDescent="0.25">
      <c r="A23" s="5">
        <v>46044</v>
      </c>
      <c r="B23" s="16">
        <v>20</v>
      </c>
      <c r="C23" s="2" t="s">
        <v>26</v>
      </c>
      <c r="D23" s="6">
        <v>7</v>
      </c>
      <c r="E23" s="6">
        <v>7</v>
      </c>
      <c r="F23" s="6">
        <v>7</v>
      </c>
      <c r="G23" s="3">
        <f t="shared" si="0"/>
        <v>6.9999999999999991</v>
      </c>
    </row>
    <row r="24" spans="1:7" x14ac:dyDescent="0.25">
      <c r="A24" s="5">
        <v>46045</v>
      </c>
      <c r="B24" s="15">
        <v>21</v>
      </c>
      <c r="C24" s="2" t="s">
        <v>27</v>
      </c>
      <c r="D24" s="6">
        <v>7</v>
      </c>
      <c r="E24" s="6">
        <v>6.5</v>
      </c>
      <c r="F24" s="6">
        <v>7.5</v>
      </c>
      <c r="G24" s="3">
        <f t="shared" si="0"/>
        <v>6.8249999999999993</v>
      </c>
    </row>
    <row r="25" spans="1:7" x14ac:dyDescent="0.25">
      <c r="A25" s="5">
        <v>46045</v>
      </c>
      <c r="B25" s="16">
        <v>22</v>
      </c>
      <c r="C25" s="2" t="s">
        <v>28</v>
      </c>
      <c r="D25" s="6">
        <v>8</v>
      </c>
      <c r="E25" s="6">
        <v>7.5</v>
      </c>
      <c r="F25" s="6">
        <v>8</v>
      </c>
      <c r="G25" s="3">
        <f t="shared" si="0"/>
        <v>7.75</v>
      </c>
    </row>
    <row r="26" spans="1:7" x14ac:dyDescent="0.25">
      <c r="A26" s="5">
        <v>46037</v>
      </c>
      <c r="B26" s="15">
        <v>23</v>
      </c>
      <c r="C26" s="2" t="s">
        <v>29</v>
      </c>
      <c r="D26" s="6">
        <v>8</v>
      </c>
      <c r="E26" s="6">
        <v>8.5</v>
      </c>
      <c r="F26" s="6">
        <v>8.5</v>
      </c>
      <c r="G26" s="3">
        <f t="shared" si="0"/>
        <v>8.3249999999999993</v>
      </c>
    </row>
    <row r="27" spans="1:7" x14ac:dyDescent="0.25">
      <c r="A27" s="5">
        <v>46037</v>
      </c>
      <c r="B27" s="16">
        <v>24</v>
      </c>
      <c r="C27" s="2" t="s">
        <v>30</v>
      </c>
      <c r="D27" s="6">
        <v>7.5</v>
      </c>
      <c r="E27" s="6">
        <v>7.5</v>
      </c>
      <c r="F27" s="6">
        <v>8</v>
      </c>
      <c r="G27" s="3">
        <f t="shared" si="0"/>
        <v>7.5750000000000002</v>
      </c>
    </row>
    <row r="28" spans="1:7" ht="18.75" x14ac:dyDescent="0.3">
      <c r="D28" s="13">
        <f>AVERAGE(D4:D27)</f>
        <v>7.4347826086956523</v>
      </c>
      <c r="E28" s="13">
        <f>AVERAGE(E4:E27)</f>
        <v>7.2826086956521738</v>
      </c>
      <c r="F28" s="13">
        <f>AVERAGE(F4:F27)</f>
        <v>7.5434782608695654</v>
      </c>
      <c r="G28" s="13">
        <f>AVERAGE(G4:G27)</f>
        <v>7.0677083333333313</v>
      </c>
    </row>
  </sheetData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CableadoEstructurado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Abad Domingo</dc:creator>
  <cp:lastModifiedBy>ASIR1-12</cp:lastModifiedBy>
  <cp:lastPrinted>2023-01-17T09:39:28Z</cp:lastPrinted>
  <dcterms:created xsi:type="dcterms:W3CDTF">2015-02-18T16:19:30Z</dcterms:created>
  <dcterms:modified xsi:type="dcterms:W3CDTF">2026-01-23T13:14:23Z</dcterms:modified>
</cp:coreProperties>
</file>